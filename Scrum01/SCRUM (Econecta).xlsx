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iob\Desktop\"/>
    </mc:Choice>
  </mc:AlternateContent>
  <xr:revisionPtr revIDLastSave="0" documentId="13_ncr:1_{F3530563-8F05-4757-B3D8-603293DF37B5}" xr6:coauthVersionLast="47" xr6:coauthVersionMax="47" xr10:uidLastSave="{00000000-0000-0000-0000-000000000000}"/>
  <bookViews>
    <workbookView xWindow="-120" yWindow="-120" windowWidth="29040" windowHeight="15720" xr2:uid="{6190836D-15FE-4566-AB8A-E813A8DA1248}"/>
  </bookViews>
  <sheets>
    <sheet name="Product Backlog (Geral)" sheetId="3" r:id="rId1"/>
    <sheet name="Sprint Backlog" sheetId="4" r:id="rId2"/>
    <sheet name="Burndown Chart S1 e S2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12" i="1" l="1"/>
  <c r="L13" i="1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5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K8" i="1"/>
  <c r="K9" i="1" s="1"/>
  <c r="E8" i="1"/>
  <c r="E9" i="1" s="1"/>
  <c r="E10" i="1" s="1"/>
  <c r="E11" i="1" s="1"/>
  <c r="E12" i="1" s="1"/>
  <c r="F13" i="1"/>
  <c r="B8" i="1"/>
  <c r="B9" i="1"/>
  <c r="B10" i="1"/>
  <c r="B11" i="1"/>
  <c r="B12" i="1"/>
  <c r="B13" i="1"/>
  <c r="H7" i="1"/>
  <c r="H8" i="1"/>
  <c r="H9" i="1"/>
  <c r="H10" i="1"/>
  <c r="H11" i="1"/>
  <c r="H12" i="1"/>
  <c r="H13" i="1"/>
  <c r="B7" i="1"/>
  <c r="L8" i="1" l="1"/>
  <c r="L7" i="1"/>
  <c r="K10" i="1"/>
  <c r="F7" i="1"/>
  <c r="F8" i="1"/>
  <c r="K11" i="1" l="1"/>
  <c r="L9" i="1"/>
  <c r="F10" i="1"/>
  <c r="F9" i="1"/>
  <c r="K12" i="1" l="1"/>
  <c r="L10" i="1"/>
  <c r="F12" i="1"/>
  <c r="L11" i="1" l="1"/>
  <c r="F11" i="1"/>
</calcChain>
</file>

<file path=xl/sharedStrings.xml><?xml version="1.0" encoding="utf-8"?>
<sst xmlns="http://schemas.openxmlformats.org/spreadsheetml/2006/main" count="179" uniqueCount="87">
  <si>
    <t>Sprint 1</t>
  </si>
  <si>
    <t>Executada (h)</t>
  </si>
  <si>
    <t>Ideal (h)</t>
  </si>
  <si>
    <t>Planejada (h)</t>
  </si>
  <si>
    <t>Sprint 2</t>
  </si>
  <si>
    <t>Dia</t>
  </si>
  <si>
    <t>SPRINT 1</t>
  </si>
  <si>
    <t>SPRINT 2</t>
  </si>
  <si>
    <t xml:space="preserve">INICIO </t>
  </si>
  <si>
    <t>FIM</t>
  </si>
  <si>
    <t>FASE</t>
  </si>
  <si>
    <t>US</t>
  </si>
  <si>
    <t>Descrição</t>
  </si>
  <si>
    <t>US01</t>
  </si>
  <si>
    <t>US02</t>
  </si>
  <si>
    <t>US03</t>
  </si>
  <si>
    <t>US04</t>
  </si>
  <si>
    <t>US05</t>
  </si>
  <si>
    <t>US06</t>
  </si>
  <si>
    <t>US07</t>
  </si>
  <si>
    <t>US08</t>
  </si>
  <si>
    <t>US09</t>
  </si>
  <si>
    <t>Criar repositório GitHub</t>
  </si>
  <si>
    <t>US10</t>
  </si>
  <si>
    <t>US11</t>
  </si>
  <si>
    <t>US12</t>
  </si>
  <si>
    <t>US13</t>
  </si>
  <si>
    <t>US14</t>
  </si>
  <si>
    <t>US15</t>
  </si>
  <si>
    <t>US16</t>
  </si>
  <si>
    <t>US17</t>
  </si>
  <si>
    <t>US18</t>
  </si>
  <si>
    <t>US19</t>
  </si>
  <si>
    <t>US20</t>
  </si>
  <si>
    <t>US21</t>
  </si>
  <si>
    <t>US22</t>
  </si>
  <si>
    <t>US23</t>
  </si>
  <si>
    <t>Tópico</t>
  </si>
  <si>
    <t>Início</t>
  </si>
  <si>
    <t>Fim</t>
  </si>
  <si>
    <t>Discovery</t>
  </si>
  <si>
    <t>Requisitos</t>
  </si>
  <si>
    <t>Interface</t>
  </si>
  <si>
    <t>Configuração</t>
  </si>
  <si>
    <t>Calcular Pontos de Função</t>
  </si>
  <si>
    <t>Métricas</t>
  </si>
  <si>
    <t>SCRUM</t>
  </si>
  <si>
    <t>Projeto</t>
  </si>
  <si>
    <t>Testes</t>
  </si>
  <si>
    <t>US24</t>
  </si>
  <si>
    <t>Finalização</t>
  </si>
  <si>
    <t>PRODUCT BACKLOG (GERAL)</t>
  </si>
  <si>
    <t>Prioridade</t>
  </si>
  <si>
    <t>Alta</t>
  </si>
  <si>
    <t>Identificar a empresa e objetivo</t>
  </si>
  <si>
    <t>Mapear stakeholders</t>
  </si>
  <si>
    <t>Definir escopo macro</t>
  </si>
  <si>
    <t>Identificar atores</t>
  </si>
  <si>
    <t>Requisitos funcionais</t>
  </si>
  <si>
    <t>Requisitos não funcionais</t>
  </si>
  <si>
    <t>Diagrama de casos de uso</t>
  </si>
  <si>
    <t>Narrativas de casos de uso</t>
  </si>
  <si>
    <t>Média</t>
  </si>
  <si>
    <t>Protótipo das telas</t>
  </si>
  <si>
    <t>Fluxo de navegação</t>
  </si>
  <si>
    <t>Subir docs e liberar acesso</t>
  </si>
  <si>
    <t>Definir métricas</t>
  </si>
  <si>
    <t>Refinar Product Backlog</t>
  </si>
  <si>
    <t>Template do burndown</t>
  </si>
  <si>
    <t>Diagrama de Classes</t>
  </si>
  <si>
    <t>Diagrama de Sequência</t>
  </si>
  <si>
    <t>Máquina de Estados</t>
  </si>
  <si>
    <t>Plano de Testes</t>
  </si>
  <si>
    <t>Casos e cenários de teste</t>
  </si>
  <si>
    <t>Burndown real</t>
  </si>
  <si>
    <t>Revisão final + GitHub</t>
  </si>
  <si>
    <t>Etapa nº</t>
  </si>
  <si>
    <t>Sprint 1 - Discovery &amp; Setup</t>
  </si>
  <si>
    <t>Sprint 2 - Requisitos &amp; Interface</t>
  </si>
  <si>
    <t>Sprint 3 - Métricas &amp; Projeto</t>
  </si>
  <si>
    <t>Sprint 4 -Testes &amp; Finalização</t>
  </si>
  <si>
    <t>Planejar sprints de desenvolvimento</t>
  </si>
  <si>
    <t>S1</t>
  </si>
  <si>
    <t>S2</t>
  </si>
  <si>
    <t>SPRINT BACKLOG</t>
  </si>
  <si>
    <t>SPRINTS - CÁLCULO</t>
  </si>
  <si>
    <t>SIMULAÇÃO DA SPRINT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</si>
</sst>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1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Continuous" vertical="center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" fontId="0" fillId="0" borderId="0" xfId="0" applyNumberFormat="1" applyAlignment="1">
      <alignment horizontal="center" vertical="center" wrapText="1"/>
    </xf>
    <xf numFmtId="0" fontId="2" fillId="0" borderId="2" xfId="0" applyFont="1" applyBorder="1" applyAlignment="1">
      <alignment horizontal="centerContinuous" vertical="center" wrapText="1"/>
    </xf>
    <xf numFmtId="16" fontId="0" fillId="0" borderId="2" xfId="0" applyNumberFormat="1" applyBorder="1" applyAlignment="1">
      <alignment horizontal="center" vertical="center" wrapText="1"/>
    </xf>
    <xf numFmtId="0" fontId="2" fillId="0" borderId="2" xfId="0" applyFont="1" applyBorder="1" applyAlignment="1">
      <alignment horizontal="centerContinuous" vertical="center"/>
    </xf>
    <xf numFmtId="0" fontId="0" fillId="0" borderId="0" xfId="0" quotePrefix="1"/>
    <xf numFmtId="0" fontId="1" fillId="2" borderId="2" xfId="0" applyFont="1" applyFill="1" applyBorder="1" applyAlignment="1">
      <alignment horizontal="center"/>
    </xf>
    <xf numFmtId="16" fontId="1" fillId="2" borderId="2" xfId="0" applyNumberFormat="1" applyFont="1" applyFill="1" applyBorder="1" applyAlignment="1">
      <alignment horizontal="center"/>
    </xf>
    <xf numFmtId="0" fontId="0" fillId="0" borderId="0" xfId="0" applyAlignment="1">
      <alignment horizontal="centerContinuous"/>
    </xf>
    <xf numFmtId="0" fontId="4" fillId="0" borderId="0" xfId="0" applyFont="1" applyAlignment="1">
      <alignment horizontal="centerContinuous"/>
    </xf>
    <xf numFmtId="0" fontId="0" fillId="3" borderId="2" xfId="0" applyFill="1" applyBorder="1" applyAlignment="1">
      <alignment horizontal="center"/>
    </xf>
    <xf numFmtId="0" fontId="0" fillId="3" borderId="0" xfId="0" applyFill="1"/>
    <xf numFmtId="16" fontId="0" fillId="3" borderId="2" xfId="0" applyNumberFormat="1" applyFill="1" applyBorder="1" applyAlignment="1">
      <alignment horizontal="center"/>
    </xf>
    <xf numFmtId="0" fontId="0" fillId="3" borderId="0" xfId="0" applyFill="1" applyAlignment="1">
      <alignment horizontal="center"/>
    </xf>
    <xf numFmtId="16" fontId="0" fillId="3" borderId="0" xfId="0" applyNumberFormat="1" applyFill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29A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bg1"/>
                </a:solidFill>
              </a:rPr>
              <a:t>Burndown</a:t>
            </a:r>
            <a:r>
              <a:rPr lang="pt-BR" baseline="0">
                <a:solidFill>
                  <a:schemeClr val="bg1"/>
                </a:solidFill>
              </a:rPr>
              <a:t> Chart - Sprint 1 (20/10 - 29/10)</a:t>
            </a:r>
            <a:endParaRPr lang="pt-BR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'Burndown Chart S1 e S2'!$D$6</c:f>
              <c:strCache>
                <c:ptCount val="1"/>
                <c:pt idx="0">
                  <c:v>Ideal (h)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'Burndown Chart S1 e S2'!$C$7:$C$13</c:f>
              <c:numCache>
                <c:formatCode>d\-mmm</c:formatCode>
                <c:ptCount val="7"/>
                <c:pt idx="0">
                  <c:v>45950</c:v>
                </c:pt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  <c:pt idx="5">
                  <c:v>45957</c:v>
                </c:pt>
                <c:pt idx="6">
                  <c:v>45958</c:v>
                </c:pt>
              </c:numCache>
            </c:numRef>
          </c:cat>
          <c:val>
            <c:numRef>
              <c:f>'Burndown Chart S1 e S2'!$D$7:$D$13</c:f>
              <c:numCache>
                <c:formatCode>General</c:formatCode>
                <c:ptCount val="7"/>
                <c:pt idx="0">
                  <c:v>14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14</c:v>
                </c:pt>
                <c:pt idx="5">
                  <c:v>14</c:v>
                </c:pt>
                <c:pt idx="6">
                  <c:v>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EC4-4816-ADB0-911ECF97EDA7}"/>
            </c:ext>
          </c:extLst>
        </c:ser>
        <c:ser>
          <c:idx val="1"/>
          <c:order val="1"/>
          <c:tx>
            <c:strRef>
              <c:f>'Burndown Chart S1 e S2'!$E$6</c:f>
              <c:strCache>
                <c:ptCount val="1"/>
                <c:pt idx="0">
                  <c:v>Planejada (h)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'Burndown Chart S1 e S2'!$C$7:$C$13</c:f>
              <c:numCache>
                <c:formatCode>d\-mmm</c:formatCode>
                <c:ptCount val="7"/>
                <c:pt idx="0">
                  <c:v>45950</c:v>
                </c:pt>
                <c:pt idx="1">
                  <c:v>45951</c:v>
                </c:pt>
                <c:pt idx="2">
                  <c:v>45952</c:v>
                </c:pt>
                <c:pt idx="3">
                  <c:v>45953</c:v>
                </c:pt>
                <c:pt idx="4">
                  <c:v>45954</c:v>
                </c:pt>
                <c:pt idx="5">
                  <c:v>45957</c:v>
                </c:pt>
                <c:pt idx="6">
                  <c:v>45958</c:v>
                </c:pt>
              </c:numCache>
            </c:numRef>
          </c:cat>
          <c:val>
            <c:numRef>
              <c:f>'Burndown Chart S1 e S2'!$E$7:$E$13</c:f>
              <c:numCache>
                <c:formatCode>General</c:formatCode>
                <c:ptCount val="7"/>
                <c:pt idx="0">
                  <c:v>14</c:v>
                </c:pt>
                <c:pt idx="1">
                  <c:v>11.67</c:v>
                </c:pt>
                <c:pt idx="2">
                  <c:v>9.34</c:v>
                </c:pt>
                <c:pt idx="3">
                  <c:v>7.01</c:v>
                </c:pt>
                <c:pt idx="4">
                  <c:v>4.68</c:v>
                </c:pt>
                <c:pt idx="5">
                  <c:v>2.3499999999999996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EC4-4816-ADB0-911ECF97ED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3425264"/>
        <c:axId val="95342190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'Burndown Chart S1 e S2'!$F$6</c15:sqref>
                        </c15:formulaRef>
                      </c:ext>
                    </c:extLst>
                    <c:strCache>
                      <c:ptCount val="1"/>
                      <c:pt idx="0">
                        <c:v>Executada (h)</c:v>
                      </c:pt>
                    </c:strCache>
                  </c:strRef>
                </c:tx>
                <c:spPr>
                  <a:ln w="2857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rgbClr val="FFFF00"/>
                    </a:solidFill>
                    <a:ln w="9525">
                      <a:solidFill>
                        <a:srgbClr val="FFFF00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'Burndown Chart S1 e S2'!$C$7:$C$13</c15:sqref>
                        </c15:formulaRef>
                      </c:ext>
                    </c:extLst>
                    <c:numCache>
                      <c:formatCode>d\-mmm</c:formatCode>
                      <c:ptCount val="7"/>
                      <c:pt idx="0">
                        <c:v>45950</c:v>
                      </c:pt>
                      <c:pt idx="1">
                        <c:v>45951</c:v>
                      </c:pt>
                      <c:pt idx="2">
                        <c:v>45952</c:v>
                      </c:pt>
                      <c:pt idx="3">
                        <c:v>45953</c:v>
                      </c:pt>
                      <c:pt idx="4">
                        <c:v>45954</c:v>
                      </c:pt>
                      <c:pt idx="5">
                        <c:v>45957</c:v>
                      </c:pt>
                      <c:pt idx="6">
                        <c:v>45958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'Burndown Chart S1 e S2'!$F$7:$F$13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2.33</c:v>
                      </c:pt>
                      <c:pt idx="1">
                        <c:v>2.33</c:v>
                      </c:pt>
                      <c:pt idx="2">
                        <c:v>2.33</c:v>
                      </c:pt>
                      <c:pt idx="3">
                        <c:v>2.33</c:v>
                      </c:pt>
                      <c:pt idx="4">
                        <c:v>2.33</c:v>
                      </c:pt>
                      <c:pt idx="5">
                        <c:v>2.3499999999999996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EC4-4816-ADB0-911ECF97EDA7}"/>
                  </c:ext>
                </c:extLst>
              </c15:ser>
            </c15:filteredLineSeries>
          </c:ext>
        </c:extLst>
      </c:lineChart>
      <c:dateAx>
        <c:axId val="95342526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3421904"/>
        <c:crosses val="autoZero"/>
        <c:auto val="1"/>
        <c:lblOffset val="100"/>
        <c:baseTimeUnit val="days"/>
      </c:dateAx>
      <c:valAx>
        <c:axId val="95342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342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29A3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r>
              <a:rPr lang="pt-BR">
                <a:solidFill>
                  <a:schemeClr val="bg1"/>
                </a:solidFill>
              </a:rPr>
              <a:t>Burndown</a:t>
            </a:r>
            <a:r>
              <a:rPr lang="pt-BR" baseline="0">
                <a:solidFill>
                  <a:schemeClr val="bg1"/>
                </a:solidFill>
              </a:rPr>
              <a:t> Chart - Sprint 2 (30/10 - 07/11)</a:t>
            </a:r>
            <a:endParaRPr lang="pt-BR">
              <a:solidFill>
                <a:schemeClr val="bg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'Burndown Chart S1 e S2'!$J$6</c:f>
              <c:strCache>
                <c:ptCount val="1"/>
                <c:pt idx="0">
                  <c:v>Ideal (h)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'Burndown Chart S1 e S2'!$I$7:$I$13</c:f>
              <c:numCache>
                <c:formatCode>d\-mmm</c:formatCode>
                <c:ptCount val="7"/>
                <c:pt idx="0">
                  <c:v>45959</c:v>
                </c:pt>
                <c:pt idx="1">
                  <c:v>45960</c:v>
                </c:pt>
                <c:pt idx="2">
                  <c:v>45961</c:v>
                </c:pt>
                <c:pt idx="3">
                  <c:v>45964</c:v>
                </c:pt>
                <c:pt idx="4">
                  <c:v>45965</c:v>
                </c:pt>
                <c:pt idx="5">
                  <c:v>45966</c:v>
                </c:pt>
                <c:pt idx="6">
                  <c:v>45967</c:v>
                </c:pt>
              </c:numCache>
            </c:numRef>
          </c:cat>
          <c:val>
            <c:numRef>
              <c:f>'Burndown Chart S1 e S2'!$J$7:$J$13</c:f>
              <c:numCache>
                <c:formatCode>General</c:formatCode>
                <c:ptCount val="7"/>
                <c:pt idx="0">
                  <c:v>22</c:v>
                </c:pt>
                <c:pt idx="1">
                  <c:v>22</c:v>
                </c:pt>
                <c:pt idx="2">
                  <c:v>22</c:v>
                </c:pt>
                <c:pt idx="3">
                  <c:v>22</c:v>
                </c:pt>
                <c:pt idx="4">
                  <c:v>22</c:v>
                </c:pt>
                <c:pt idx="5">
                  <c:v>22</c:v>
                </c:pt>
                <c:pt idx="6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90-45B3-9F63-36499034090B}"/>
            </c:ext>
          </c:extLst>
        </c:ser>
        <c:ser>
          <c:idx val="1"/>
          <c:order val="1"/>
          <c:tx>
            <c:strRef>
              <c:f>'Burndown Chart S1 e S2'!$K$6</c:f>
              <c:strCache>
                <c:ptCount val="1"/>
                <c:pt idx="0">
                  <c:v>Planejada (h)</c:v>
                </c:pt>
              </c:strCache>
            </c:strRef>
          </c:tx>
          <c:spPr>
            <a:ln w="28575" cap="rnd">
              <a:solidFill>
                <a:srgbClr val="FFFF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'Burndown Chart S1 e S2'!$I$7:$I$13</c:f>
              <c:numCache>
                <c:formatCode>d\-mmm</c:formatCode>
                <c:ptCount val="7"/>
                <c:pt idx="0">
                  <c:v>45959</c:v>
                </c:pt>
                <c:pt idx="1">
                  <c:v>45960</c:v>
                </c:pt>
                <c:pt idx="2">
                  <c:v>45961</c:v>
                </c:pt>
                <c:pt idx="3">
                  <c:v>45964</c:v>
                </c:pt>
                <c:pt idx="4">
                  <c:v>45965</c:v>
                </c:pt>
                <c:pt idx="5">
                  <c:v>45966</c:v>
                </c:pt>
                <c:pt idx="6">
                  <c:v>45967</c:v>
                </c:pt>
              </c:numCache>
            </c:numRef>
          </c:cat>
          <c:val>
            <c:numRef>
              <c:f>'Burndown Chart S1 e S2'!$K$7:$K$13</c:f>
              <c:numCache>
                <c:formatCode>General</c:formatCode>
                <c:ptCount val="7"/>
                <c:pt idx="0">
                  <c:v>22</c:v>
                </c:pt>
                <c:pt idx="1">
                  <c:v>18.329999999999998</c:v>
                </c:pt>
                <c:pt idx="2">
                  <c:v>14.659999999999998</c:v>
                </c:pt>
                <c:pt idx="3">
                  <c:v>10.989999999999998</c:v>
                </c:pt>
                <c:pt idx="4">
                  <c:v>7.3199999999999985</c:v>
                </c:pt>
                <c:pt idx="5">
                  <c:v>3.6499999999999986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790-45B3-9F63-364990340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53425264"/>
        <c:axId val="953421904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'Burndown Chart S1 e S2'!$L$6</c15:sqref>
                        </c15:formulaRef>
                      </c:ext>
                    </c:extLst>
                    <c:strCache>
                      <c:ptCount val="1"/>
                      <c:pt idx="0">
                        <c:v>Executada (h)</c:v>
                      </c:pt>
                    </c:strCache>
                  </c:strRef>
                </c:tx>
                <c:spPr>
                  <a:ln w="28575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'Burndown Chart S1 e S2'!$I$7:$I$13</c15:sqref>
                        </c15:formulaRef>
                      </c:ext>
                    </c:extLst>
                    <c:numCache>
                      <c:formatCode>d\-mmm</c:formatCode>
                      <c:ptCount val="7"/>
                      <c:pt idx="0">
                        <c:v>45959</c:v>
                      </c:pt>
                      <c:pt idx="1">
                        <c:v>45960</c:v>
                      </c:pt>
                      <c:pt idx="2">
                        <c:v>45961</c:v>
                      </c:pt>
                      <c:pt idx="3">
                        <c:v>45964</c:v>
                      </c:pt>
                      <c:pt idx="4">
                        <c:v>45965</c:v>
                      </c:pt>
                      <c:pt idx="5">
                        <c:v>45966</c:v>
                      </c:pt>
                      <c:pt idx="6">
                        <c:v>45967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'Burndown Chart S1 e S2'!$L$7:$L$13</c15:sqref>
                        </c15:formulaRef>
                      </c:ext>
                    </c:extLst>
                    <c:numCache>
                      <c:formatCode>General</c:formatCode>
                      <c:ptCount val="7"/>
                      <c:pt idx="0">
                        <c:v>3.6700000000000017</c:v>
                      </c:pt>
                      <c:pt idx="1">
                        <c:v>3.67</c:v>
                      </c:pt>
                      <c:pt idx="2">
                        <c:v>3.67</c:v>
                      </c:pt>
                      <c:pt idx="3">
                        <c:v>3.67</c:v>
                      </c:pt>
                      <c:pt idx="4">
                        <c:v>3.67</c:v>
                      </c:pt>
                      <c:pt idx="5">
                        <c:v>3.6499999999999986</c:v>
                      </c:pt>
                      <c:pt idx="6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E790-45B3-9F63-36499034090B}"/>
                  </c:ext>
                </c:extLst>
              </c15:ser>
            </c15:filteredLineSeries>
          </c:ext>
        </c:extLst>
      </c:lineChart>
      <c:dateAx>
        <c:axId val="95342526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3421904"/>
        <c:crosses val="autoZero"/>
        <c:auto val="1"/>
        <c:lblOffset val="100"/>
        <c:baseTimeUnit val="days"/>
      </c:dateAx>
      <c:valAx>
        <c:axId val="9534219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53425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rgbClr val="29A3FF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600074</xdr:colOff>
      <xdr:row>13</xdr:row>
      <xdr:rowOff>114300</xdr:rowOff>
    </xdr:from>
    <xdr:to>
      <xdr:col>6</xdr:col>
      <xdr:colOff>19049</xdr:colOff>
      <xdr:row>27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B8E83F8-281C-419A-A1A9-5DE254D36CB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590550</xdr:colOff>
      <xdr:row>13</xdr:row>
      <xdr:rowOff>171450</xdr:rowOff>
    </xdr:from>
    <xdr:to>
      <xdr:col>12</xdr:col>
      <xdr:colOff>19050</xdr:colOff>
      <xdr:row>27</xdr:row>
      <xdr:rowOff>66675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525DFE2-62DE-4585-984A-3B0968795B4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24B57-0F00-4F40-B634-C7F0DDC309D1}">
  <dimension ref="B1:F28"/>
  <sheetViews>
    <sheetView showGridLines="0" tabSelected="1" zoomScale="115" zoomScaleNormal="115" workbookViewId="0">
      <pane ySplit="4" topLeftCell="A5" activePane="bottomLeft" state="frozen"/>
      <selection pane="bottomLeft" activeCell="D18" sqref="D18"/>
    </sheetView>
  </sheetViews>
  <sheetFormatPr defaultRowHeight="15" x14ac:dyDescent="0.25"/>
  <cols>
    <col min="1" max="1" width="5.5703125" customWidth="1"/>
    <col min="2" max="3" width="30.7109375" style="2" customWidth="1"/>
    <col min="4" max="4" width="60.7109375" style="2" customWidth="1"/>
    <col min="5" max="5" width="30.7109375" style="2" customWidth="1"/>
    <col min="6" max="6" width="30.7109375" customWidth="1"/>
  </cols>
  <sheetData>
    <row r="1" spans="2:6" x14ac:dyDescent="0.25">
      <c r="C1"/>
    </row>
    <row r="2" spans="2:6" ht="21" x14ac:dyDescent="0.35">
      <c r="B2" s="24" t="s">
        <v>51</v>
      </c>
      <c r="C2" s="25"/>
      <c r="D2" s="25"/>
      <c r="E2" s="25"/>
      <c r="F2" s="26"/>
    </row>
    <row r="3" spans="2:6" ht="21" x14ac:dyDescent="0.35">
      <c r="B3" s="17"/>
      <c r="C3" s="18"/>
      <c r="D3" s="17"/>
      <c r="E3" s="17"/>
      <c r="F3" s="17"/>
    </row>
    <row r="4" spans="2:6" ht="15.75" customHeight="1" x14ac:dyDescent="0.25">
      <c r="B4" s="8" t="s">
        <v>11</v>
      </c>
      <c r="C4" s="8" t="s">
        <v>52</v>
      </c>
      <c r="D4" s="8" t="s">
        <v>12</v>
      </c>
      <c r="E4" s="8" t="s">
        <v>37</v>
      </c>
      <c r="F4" s="8" t="s">
        <v>76</v>
      </c>
    </row>
    <row r="5" spans="2:6" x14ac:dyDescent="0.25">
      <c r="B5" s="9" t="s">
        <v>13</v>
      </c>
      <c r="C5" s="9" t="str">
        <f>VLOOKUP(B5,'Sprint Backlog'!C:I,2,0)</f>
        <v>Alta</v>
      </c>
      <c r="D5" s="6" t="str">
        <f>VLOOKUP(B5,'Sprint Backlog'!C:I,3,0)</f>
        <v>Identificar a empresa e objetivo</v>
      </c>
      <c r="E5" s="9" t="str">
        <f>VLOOKUP(B5,'Sprint Backlog'!C:I,4,0)</f>
        <v>Discovery</v>
      </c>
      <c r="F5" s="9">
        <f>VLOOKUP(B5,'Sprint Backlog'!C:I,5,0)</f>
        <v>1</v>
      </c>
    </row>
    <row r="6" spans="2:6" x14ac:dyDescent="0.25">
      <c r="B6" s="9" t="s">
        <v>14</v>
      </c>
      <c r="C6" s="9" t="str">
        <f>VLOOKUP(B6,'Sprint Backlog'!C:I,2,0)</f>
        <v>Alta</v>
      </c>
      <c r="D6" s="6" t="str">
        <f>VLOOKUP(B6,'Sprint Backlog'!C:I,3,0)</f>
        <v>Mapear stakeholders</v>
      </c>
      <c r="E6" s="9" t="str">
        <f>VLOOKUP(B6,'Sprint Backlog'!C:I,4,0)</f>
        <v>Discovery</v>
      </c>
      <c r="F6" s="9">
        <f>VLOOKUP(B6,'Sprint Backlog'!C:I,5,0)</f>
        <v>1</v>
      </c>
    </row>
    <row r="7" spans="2:6" x14ac:dyDescent="0.25">
      <c r="B7" s="9" t="s">
        <v>15</v>
      </c>
      <c r="C7" s="9" t="str">
        <f>VLOOKUP(B7,'Sprint Backlog'!C:I,2,0)</f>
        <v>Alta</v>
      </c>
      <c r="D7" s="6" t="str">
        <f>VLOOKUP(B7,'Sprint Backlog'!C:I,3,0)</f>
        <v>Definir escopo macro</v>
      </c>
      <c r="E7" s="9" t="str">
        <f>VLOOKUP(B7,'Sprint Backlog'!C:I,4,0)</f>
        <v>Discovery</v>
      </c>
      <c r="F7" s="9">
        <f>VLOOKUP(B7,'Sprint Backlog'!C:I,5,0)</f>
        <v>1</v>
      </c>
    </row>
    <row r="8" spans="2:6" x14ac:dyDescent="0.25">
      <c r="B8" s="9" t="s">
        <v>16</v>
      </c>
      <c r="C8" s="9" t="str">
        <f>VLOOKUP(B8,'Sprint Backlog'!C:I,2,0)</f>
        <v>Alta</v>
      </c>
      <c r="D8" s="6" t="str">
        <f>VLOOKUP(B8,'Sprint Backlog'!C:I,3,0)</f>
        <v>Identificar atores</v>
      </c>
      <c r="E8" s="9" t="str">
        <f>VLOOKUP(B8,'Sprint Backlog'!C:I,4,0)</f>
        <v>Requisitos</v>
      </c>
      <c r="F8" s="9">
        <f>VLOOKUP(B8,'Sprint Backlog'!C:I,5,0)</f>
        <v>2</v>
      </c>
    </row>
    <row r="9" spans="2:6" x14ac:dyDescent="0.25">
      <c r="B9" s="9" t="s">
        <v>17</v>
      </c>
      <c r="C9" s="9" t="str">
        <f>VLOOKUP(B9,'Sprint Backlog'!C:I,2,0)</f>
        <v>Alta</v>
      </c>
      <c r="D9" s="6" t="str">
        <f>VLOOKUP(B9,'Sprint Backlog'!C:I,3,0)</f>
        <v>Requisitos funcionais</v>
      </c>
      <c r="E9" s="9" t="str">
        <f>VLOOKUP(B9,'Sprint Backlog'!C:I,4,0)</f>
        <v>Requisitos</v>
      </c>
      <c r="F9" s="9">
        <f>VLOOKUP(B9,'Sprint Backlog'!C:I,5,0)</f>
        <v>2</v>
      </c>
    </row>
    <row r="10" spans="2:6" x14ac:dyDescent="0.25">
      <c r="B10" s="9" t="s">
        <v>18</v>
      </c>
      <c r="C10" s="9" t="str">
        <f>VLOOKUP(B10,'Sprint Backlog'!C:I,2,0)</f>
        <v>Alta</v>
      </c>
      <c r="D10" s="6" t="str">
        <f>VLOOKUP(B10,'Sprint Backlog'!C:I,3,0)</f>
        <v>Requisitos não funcionais</v>
      </c>
      <c r="E10" s="9" t="str">
        <f>VLOOKUP(B10,'Sprint Backlog'!C:I,4,0)</f>
        <v>Requisitos</v>
      </c>
      <c r="F10" s="9">
        <f>VLOOKUP(B10,'Sprint Backlog'!C:I,5,0)</f>
        <v>2</v>
      </c>
    </row>
    <row r="11" spans="2:6" x14ac:dyDescent="0.25">
      <c r="B11" s="9" t="s">
        <v>19</v>
      </c>
      <c r="C11" s="9" t="str">
        <f>VLOOKUP(B11,'Sprint Backlog'!C:I,2,0)</f>
        <v>Alta</v>
      </c>
      <c r="D11" s="6" t="str">
        <f>VLOOKUP(B11,'Sprint Backlog'!C:I,3,0)</f>
        <v>Diagrama de casos de uso</v>
      </c>
      <c r="E11" s="9" t="str">
        <f>VLOOKUP(B11,'Sprint Backlog'!C:I,4,0)</f>
        <v>Requisitos</v>
      </c>
      <c r="F11" s="9">
        <f>VLOOKUP(B11,'Sprint Backlog'!C:I,5,0)</f>
        <v>2</v>
      </c>
    </row>
    <row r="12" spans="2:6" x14ac:dyDescent="0.25">
      <c r="B12" s="9" t="s">
        <v>20</v>
      </c>
      <c r="C12" s="9" t="str">
        <f>VLOOKUP(B12,'Sprint Backlog'!C:I,2,0)</f>
        <v>Alta</v>
      </c>
      <c r="D12" s="6" t="str">
        <f>VLOOKUP(B12,'Sprint Backlog'!C:I,3,0)</f>
        <v>Narrativas de casos de uso</v>
      </c>
      <c r="E12" s="9" t="str">
        <f>VLOOKUP(B12,'Sprint Backlog'!C:I,4,0)</f>
        <v>Requisitos</v>
      </c>
      <c r="F12" s="9">
        <f>VLOOKUP(B12,'Sprint Backlog'!C:I,5,0)</f>
        <v>2</v>
      </c>
    </row>
    <row r="13" spans="2:6" x14ac:dyDescent="0.25">
      <c r="B13" s="9" t="s">
        <v>21</v>
      </c>
      <c r="C13" s="9" t="str">
        <f>VLOOKUP(B13,'Sprint Backlog'!C:I,2,0)</f>
        <v>Alta</v>
      </c>
      <c r="D13" s="6" t="str">
        <f>VLOOKUP(B13,'Sprint Backlog'!C:I,3,0)</f>
        <v>Protótipo das telas</v>
      </c>
      <c r="E13" s="9" t="str">
        <f>VLOOKUP(B13,'Sprint Backlog'!C:I,4,0)</f>
        <v>Interface</v>
      </c>
      <c r="F13" s="9">
        <f>VLOOKUP(B13,'Sprint Backlog'!C:I,5,0)</f>
        <v>3</v>
      </c>
    </row>
    <row r="14" spans="2:6" x14ac:dyDescent="0.25">
      <c r="B14" s="9" t="s">
        <v>23</v>
      </c>
      <c r="C14" s="9" t="str">
        <f>VLOOKUP(B14,'Sprint Backlog'!C:I,2,0)</f>
        <v>Alta</v>
      </c>
      <c r="D14" s="6" t="str">
        <f>VLOOKUP(B14,'Sprint Backlog'!C:I,3,0)</f>
        <v>Fluxo de navegação</v>
      </c>
      <c r="E14" s="9" t="str">
        <f>VLOOKUP(B14,'Sprint Backlog'!C:I,4,0)</f>
        <v>Interface</v>
      </c>
      <c r="F14" s="9">
        <f>VLOOKUP(B14,'Sprint Backlog'!C:I,5,0)</f>
        <v>3</v>
      </c>
    </row>
    <row r="15" spans="2:6" x14ac:dyDescent="0.25">
      <c r="B15" s="9" t="s">
        <v>24</v>
      </c>
      <c r="C15" s="9" t="str">
        <f>VLOOKUP(B15,'Sprint Backlog'!C:I,2,0)</f>
        <v>Alta</v>
      </c>
      <c r="D15" s="6" t="str">
        <f>VLOOKUP(B15,'Sprint Backlog'!C:I,3,0)</f>
        <v>Criar repositório GitHub</v>
      </c>
      <c r="E15" s="9" t="str">
        <f>VLOOKUP(B15,'Sprint Backlog'!C:I,4,0)</f>
        <v>Configuração</v>
      </c>
      <c r="F15" s="9">
        <f>VLOOKUP(B15,'Sprint Backlog'!C:I,5,0)</f>
        <v>3</v>
      </c>
    </row>
    <row r="16" spans="2:6" x14ac:dyDescent="0.25">
      <c r="B16" s="9" t="s">
        <v>25</v>
      </c>
      <c r="C16" s="9" t="str">
        <f>VLOOKUP(B16,'Sprint Backlog'!C:I,2,0)</f>
        <v>Alta</v>
      </c>
      <c r="D16" s="6" t="str">
        <f>VLOOKUP(B16,'Sprint Backlog'!C:I,3,0)</f>
        <v>Subir docs e liberar acesso</v>
      </c>
      <c r="E16" s="9" t="str">
        <f>VLOOKUP(B16,'Sprint Backlog'!C:I,4,0)</f>
        <v>Configuração</v>
      </c>
      <c r="F16" s="9">
        <f>VLOOKUP(B16,'Sprint Backlog'!C:I,5,0)</f>
        <v>3</v>
      </c>
    </row>
    <row r="17" spans="2:6" x14ac:dyDescent="0.25">
      <c r="B17" s="9" t="s">
        <v>26</v>
      </c>
      <c r="C17" s="9" t="str">
        <f>VLOOKUP(B17,'Sprint Backlog'!C:I,2,0)</f>
        <v>Alta</v>
      </c>
      <c r="D17" s="6" t="str">
        <f>VLOOKUP(B17,'Sprint Backlog'!C:I,3,0)</f>
        <v>Calcular Pontos de Função</v>
      </c>
      <c r="E17" s="9" t="str">
        <f>VLOOKUP(B17,'Sprint Backlog'!C:I,4,0)</f>
        <v>Métricas</v>
      </c>
      <c r="F17" s="9">
        <f>VLOOKUP(B17,'Sprint Backlog'!C:I,5,0)</f>
        <v>4</v>
      </c>
    </row>
    <row r="18" spans="2:6" x14ac:dyDescent="0.25">
      <c r="B18" s="9" t="s">
        <v>27</v>
      </c>
      <c r="C18" s="9" t="str">
        <f>VLOOKUP(B18,'Sprint Backlog'!C:I,2,0)</f>
        <v>Alta</v>
      </c>
      <c r="D18" s="6" t="str">
        <f>VLOOKUP(B18,'Sprint Backlog'!C:I,3,0)</f>
        <v>Definir métricas</v>
      </c>
      <c r="E18" s="9" t="str">
        <f>VLOOKUP(B18,'Sprint Backlog'!C:I,4,0)</f>
        <v>Métricas</v>
      </c>
      <c r="F18" s="9">
        <f>VLOOKUP(B18,'Sprint Backlog'!C:I,5,0)</f>
        <v>4</v>
      </c>
    </row>
    <row r="19" spans="2:6" x14ac:dyDescent="0.25">
      <c r="B19" s="9" t="s">
        <v>28</v>
      </c>
      <c r="C19" s="9" t="str">
        <f>VLOOKUP(B19,'Sprint Backlog'!C:I,2,0)</f>
        <v>Alta</v>
      </c>
      <c r="D19" s="6" t="str">
        <f>VLOOKUP(B19,'Sprint Backlog'!C:I,3,0)</f>
        <v>Refinar Product Backlog</v>
      </c>
      <c r="E19" s="9" t="str">
        <f>VLOOKUP(B19,'Sprint Backlog'!C:I,4,0)</f>
        <v>SCRUM</v>
      </c>
      <c r="F19" s="9">
        <f>VLOOKUP(B19,'Sprint Backlog'!C:I,5,0)</f>
        <v>5</v>
      </c>
    </row>
    <row r="20" spans="2:6" x14ac:dyDescent="0.25">
      <c r="B20" s="9" t="s">
        <v>29</v>
      </c>
      <c r="C20" s="9" t="str">
        <f>VLOOKUP(B20,'Sprint Backlog'!C:I,2,0)</f>
        <v>Alta</v>
      </c>
      <c r="D20" s="6" t="str">
        <f>VLOOKUP(B20,'Sprint Backlog'!C:I,3,0)</f>
        <v>Planejar sprints de desenvolvimento</v>
      </c>
      <c r="E20" s="9" t="str">
        <f>VLOOKUP(B20,'Sprint Backlog'!C:I,4,0)</f>
        <v>SCRUM</v>
      </c>
      <c r="F20" s="9">
        <f>VLOOKUP(B20,'Sprint Backlog'!C:I,5,0)</f>
        <v>5</v>
      </c>
    </row>
    <row r="21" spans="2:6" x14ac:dyDescent="0.25">
      <c r="B21" s="9" t="s">
        <v>30</v>
      </c>
      <c r="C21" s="9" t="str">
        <f>VLOOKUP(B21,'Sprint Backlog'!C:I,2,0)</f>
        <v>Média</v>
      </c>
      <c r="D21" s="6" t="str">
        <f>VLOOKUP(B21,'Sprint Backlog'!C:I,3,0)</f>
        <v>Template do burndown</v>
      </c>
      <c r="E21" s="9" t="str">
        <f>VLOOKUP(B21,'Sprint Backlog'!C:I,4,0)</f>
        <v>SCRUM</v>
      </c>
      <c r="F21" s="9">
        <f>VLOOKUP(B21,'Sprint Backlog'!C:I,5,0)</f>
        <v>5</v>
      </c>
    </row>
    <row r="22" spans="2:6" x14ac:dyDescent="0.25">
      <c r="B22" s="9" t="s">
        <v>31</v>
      </c>
      <c r="C22" s="9" t="str">
        <f>VLOOKUP(B22,'Sprint Backlog'!C:I,2,0)</f>
        <v>Alta</v>
      </c>
      <c r="D22" s="6" t="str">
        <f>VLOOKUP(B22,'Sprint Backlog'!C:I,3,0)</f>
        <v>Diagrama de Classes</v>
      </c>
      <c r="E22" s="9" t="str">
        <f>VLOOKUP(B22,'Sprint Backlog'!C:I,4,0)</f>
        <v>Projeto</v>
      </c>
      <c r="F22" s="9">
        <f>VLOOKUP(B22,'Sprint Backlog'!C:I,5,0)</f>
        <v>6</v>
      </c>
    </row>
    <row r="23" spans="2:6" x14ac:dyDescent="0.25">
      <c r="B23" s="9" t="s">
        <v>32</v>
      </c>
      <c r="C23" s="9" t="str">
        <f>VLOOKUP(B23,'Sprint Backlog'!C:I,2,0)</f>
        <v>Alta</v>
      </c>
      <c r="D23" s="6" t="str">
        <f>VLOOKUP(B23,'Sprint Backlog'!C:I,3,0)</f>
        <v>Diagrama de Sequência</v>
      </c>
      <c r="E23" s="9" t="str">
        <f>VLOOKUP(B23,'Sprint Backlog'!C:I,4,0)</f>
        <v>Projeto</v>
      </c>
      <c r="F23" s="9">
        <f>VLOOKUP(B23,'Sprint Backlog'!C:I,5,0)</f>
        <v>6</v>
      </c>
    </row>
    <row r="24" spans="2:6" x14ac:dyDescent="0.25">
      <c r="B24" s="9" t="s">
        <v>33</v>
      </c>
      <c r="C24" s="9" t="str">
        <f>VLOOKUP(B24,'Sprint Backlog'!C:I,2,0)</f>
        <v>Alta</v>
      </c>
      <c r="D24" s="6" t="str">
        <f>VLOOKUP(B24,'Sprint Backlog'!C:I,3,0)</f>
        <v>Máquina de Estados</v>
      </c>
      <c r="E24" s="9" t="str">
        <f>VLOOKUP(B24,'Sprint Backlog'!C:I,4,0)</f>
        <v>Projeto</v>
      </c>
      <c r="F24" s="9">
        <f>VLOOKUP(B24,'Sprint Backlog'!C:I,5,0)</f>
        <v>6</v>
      </c>
    </row>
    <row r="25" spans="2:6" x14ac:dyDescent="0.25">
      <c r="B25" s="9" t="s">
        <v>34</v>
      </c>
      <c r="C25" s="9" t="str">
        <f>VLOOKUP(B25,'Sprint Backlog'!C:I,2,0)</f>
        <v>Alta</v>
      </c>
      <c r="D25" s="6" t="str">
        <f>VLOOKUP(B25,'Sprint Backlog'!C:I,3,0)</f>
        <v>Plano de Testes</v>
      </c>
      <c r="E25" s="9" t="str">
        <f>VLOOKUP(B25,'Sprint Backlog'!C:I,4,0)</f>
        <v>Testes</v>
      </c>
      <c r="F25" s="9">
        <f>VLOOKUP(B25,'Sprint Backlog'!C:I,5,0)</f>
        <v>7</v>
      </c>
    </row>
    <row r="26" spans="2:6" x14ac:dyDescent="0.25">
      <c r="B26" s="9" t="s">
        <v>35</v>
      </c>
      <c r="C26" s="9" t="str">
        <f>VLOOKUP(B26,'Sprint Backlog'!C:I,2,0)</f>
        <v>Alta</v>
      </c>
      <c r="D26" s="6" t="str">
        <f>VLOOKUP(B26,'Sprint Backlog'!C:I,3,0)</f>
        <v>Casos e cenários de teste</v>
      </c>
      <c r="E26" s="9" t="str">
        <f>VLOOKUP(B26,'Sprint Backlog'!C:I,4,0)</f>
        <v>Testes</v>
      </c>
      <c r="F26" s="9">
        <f>VLOOKUP(B26,'Sprint Backlog'!C:I,5,0)</f>
        <v>7</v>
      </c>
    </row>
    <row r="27" spans="2:6" x14ac:dyDescent="0.25">
      <c r="B27" s="9" t="s">
        <v>36</v>
      </c>
      <c r="C27" s="9" t="str">
        <f>VLOOKUP(B27,'Sprint Backlog'!C:I,2,0)</f>
        <v>Alta</v>
      </c>
      <c r="D27" s="6" t="str">
        <f>VLOOKUP(B27,'Sprint Backlog'!C:I,3,0)</f>
        <v>Burndown real</v>
      </c>
      <c r="E27" s="9" t="str">
        <f>VLOOKUP(B27,'Sprint Backlog'!C:I,4,0)</f>
        <v>SCRUM</v>
      </c>
      <c r="F27" s="9">
        <f>VLOOKUP(B27,'Sprint Backlog'!C:I,5,0)</f>
        <v>5</v>
      </c>
    </row>
    <row r="28" spans="2:6" x14ac:dyDescent="0.25">
      <c r="B28" s="9" t="s">
        <v>49</v>
      </c>
      <c r="C28" s="9" t="str">
        <f>VLOOKUP(B28,'Sprint Backlog'!C:I,2,0)</f>
        <v>Alta</v>
      </c>
      <c r="D28" s="6" t="str">
        <f>VLOOKUP(B28,'Sprint Backlog'!C:I,3,0)</f>
        <v>Revisão final + GitHub</v>
      </c>
      <c r="E28" s="9" t="str">
        <f>VLOOKUP(B28,'Sprint Backlog'!C:I,4,0)</f>
        <v>Finalização</v>
      </c>
      <c r="F28" s="9">
        <f>VLOOKUP(B28,'Sprint Backlog'!C:I,5,0)</f>
        <v>8</v>
      </c>
    </row>
  </sheetData>
  <mergeCells count="1">
    <mergeCell ref="B2:F2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64F86-EA2F-4908-8D3E-862F3D7AFE31}">
  <dimension ref="C2:N39"/>
  <sheetViews>
    <sheetView showGridLines="0" workbookViewId="0">
      <pane ySplit="5" topLeftCell="A6" activePane="bottomLeft" state="frozen"/>
      <selection pane="bottomLeft" activeCell="E23" sqref="E23"/>
    </sheetView>
  </sheetViews>
  <sheetFormatPr defaultRowHeight="15" x14ac:dyDescent="0.25"/>
  <cols>
    <col min="3" max="4" width="15.7109375" style="5" customWidth="1"/>
    <col min="5" max="5" width="50.7109375" style="3" customWidth="1"/>
    <col min="6" max="9" width="15.7109375" style="5" customWidth="1"/>
    <col min="10" max="10" width="16.140625" bestFit="1" customWidth="1"/>
  </cols>
  <sheetData>
    <row r="2" spans="3:14" x14ac:dyDescent="0.25">
      <c r="C2" s="27" t="s">
        <v>84</v>
      </c>
      <c r="D2" s="27"/>
      <c r="E2" s="27"/>
      <c r="F2" s="27"/>
      <c r="G2" s="27"/>
      <c r="H2" s="27"/>
      <c r="I2" s="27"/>
    </row>
    <row r="3" spans="3:14" x14ac:dyDescent="0.25">
      <c r="C3" s="27"/>
      <c r="D3" s="27"/>
      <c r="E3" s="27"/>
      <c r="F3" s="27"/>
      <c r="G3" s="27"/>
      <c r="H3" s="27"/>
      <c r="I3" s="27"/>
    </row>
    <row r="5" spans="3:14" x14ac:dyDescent="0.25">
      <c r="C5" s="7"/>
      <c r="D5" s="11" t="s">
        <v>77</v>
      </c>
      <c r="E5" s="7"/>
      <c r="F5" s="7"/>
      <c r="G5" s="7"/>
      <c r="H5" s="7"/>
      <c r="I5" s="7"/>
    </row>
    <row r="6" spans="3:14" x14ac:dyDescent="0.25">
      <c r="C6" s="8" t="s">
        <v>11</v>
      </c>
      <c r="D6" s="8" t="s">
        <v>52</v>
      </c>
      <c r="E6" s="8" t="s">
        <v>12</v>
      </c>
      <c r="F6" s="8" t="s">
        <v>37</v>
      </c>
      <c r="G6" s="8" t="s">
        <v>76</v>
      </c>
      <c r="H6" s="8" t="s">
        <v>38</v>
      </c>
      <c r="I6" s="8" t="s">
        <v>39</v>
      </c>
    </row>
    <row r="7" spans="3:14" x14ac:dyDescent="0.25">
      <c r="C7" s="9" t="s">
        <v>13</v>
      </c>
      <c r="D7" s="9" t="s">
        <v>53</v>
      </c>
      <c r="E7" s="9" t="s">
        <v>54</v>
      </c>
      <c r="F7" s="9" t="s">
        <v>40</v>
      </c>
      <c r="G7" s="9">
        <v>1</v>
      </c>
      <c r="H7" s="12">
        <v>45950</v>
      </c>
      <c r="I7" s="12">
        <v>45950</v>
      </c>
      <c r="K7" s="6" t="s">
        <v>10</v>
      </c>
      <c r="L7" s="6" t="s">
        <v>8</v>
      </c>
      <c r="M7" s="6" t="s">
        <v>9</v>
      </c>
    </row>
    <row r="8" spans="3:14" x14ac:dyDescent="0.25">
      <c r="C8" s="9" t="s">
        <v>14</v>
      </c>
      <c r="D8" s="9" t="s">
        <v>53</v>
      </c>
      <c r="E8" s="9" t="s">
        <v>55</v>
      </c>
      <c r="F8" s="9" t="s">
        <v>40</v>
      </c>
      <c r="G8" s="9">
        <v>1</v>
      </c>
      <c r="H8" s="12">
        <v>45951</v>
      </c>
      <c r="I8" s="12">
        <v>45951</v>
      </c>
      <c r="K8" s="15" t="s">
        <v>6</v>
      </c>
      <c r="L8" s="16">
        <v>45950</v>
      </c>
      <c r="M8" s="16">
        <v>45959</v>
      </c>
      <c r="N8" t="s">
        <v>86</v>
      </c>
    </row>
    <row r="9" spans="3:14" x14ac:dyDescent="0.25">
      <c r="C9" s="9" t="s">
        <v>15</v>
      </c>
      <c r="D9" s="9" t="s">
        <v>53</v>
      </c>
      <c r="E9" s="9" t="s">
        <v>56</v>
      </c>
      <c r="F9" s="9" t="s">
        <v>40</v>
      </c>
      <c r="G9" s="9">
        <v>1</v>
      </c>
      <c r="H9" s="12">
        <v>45952</v>
      </c>
      <c r="I9" s="12">
        <v>45953</v>
      </c>
      <c r="K9" s="15" t="s">
        <v>7</v>
      </c>
      <c r="L9" s="16">
        <v>45960</v>
      </c>
      <c r="M9" s="16">
        <v>45968</v>
      </c>
      <c r="N9" t="s">
        <v>86</v>
      </c>
    </row>
    <row r="10" spans="3:14" x14ac:dyDescent="0.25">
      <c r="C10" s="9" t="s">
        <v>24</v>
      </c>
      <c r="D10" s="9" t="s">
        <v>53</v>
      </c>
      <c r="E10" s="9" t="s">
        <v>22</v>
      </c>
      <c r="F10" s="9" t="s">
        <v>43</v>
      </c>
      <c r="G10" s="9">
        <v>3</v>
      </c>
      <c r="H10" s="12">
        <v>45953</v>
      </c>
      <c r="I10" s="12">
        <v>45953</v>
      </c>
    </row>
    <row r="11" spans="3:14" x14ac:dyDescent="0.25">
      <c r="C11" s="9" t="s">
        <v>25</v>
      </c>
      <c r="D11" s="9" t="s">
        <v>53</v>
      </c>
      <c r="E11" s="9" t="s">
        <v>65</v>
      </c>
      <c r="F11" s="9" t="s">
        <v>43</v>
      </c>
      <c r="G11" s="9">
        <v>3</v>
      </c>
      <c r="H11" s="12">
        <v>45954</v>
      </c>
      <c r="I11" s="12">
        <v>45954</v>
      </c>
    </row>
    <row r="12" spans="3:14" x14ac:dyDescent="0.25">
      <c r="C12" s="9" t="s">
        <v>28</v>
      </c>
      <c r="D12" s="9" t="s">
        <v>53</v>
      </c>
      <c r="E12" s="9" t="s">
        <v>67</v>
      </c>
      <c r="F12" s="9" t="s">
        <v>46</v>
      </c>
      <c r="G12" s="9">
        <v>5</v>
      </c>
      <c r="H12" s="12">
        <v>45957</v>
      </c>
      <c r="I12" s="12">
        <v>45958</v>
      </c>
    </row>
    <row r="13" spans="3:14" x14ac:dyDescent="0.25">
      <c r="C13" s="9" t="s">
        <v>29</v>
      </c>
      <c r="D13" s="9" t="s">
        <v>53</v>
      </c>
      <c r="E13" s="9" t="s">
        <v>81</v>
      </c>
      <c r="F13" s="9" t="s">
        <v>46</v>
      </c>
      <c r="G13" s="9">
        <v>5</v>
      </c>
      <c r="H13" s="12">
        <v>45958</v>
      </c>
      <c r="I13" s="12">
        <v>45958</v>
      </c>
    </row>
    <row r="14" spans="3:14" x14ac:dyDescent="0.25">
      <c r="C14" s="9" t="s">
        <v>30</v>
      </c>
      <c r="D14" s="9" t="s">
        <v>62</v>
      </c>
      <c r="E14" s="9" t="s">
        <v>68</v>
      </c>
      <c r="F14" s="9" t="s">
        <v>46</v>
      </c>
      <c r="G14" s="9">
        <v>5</v>
      </c>
      <c r="H14" s="12">
        <v>45953</v>
      </c>
      <c r="I14" s="12">
        <v>45953</v>
      </c>
    </row>
    <row r="16" spans="3:14" x14ac:dyDescent="0.25">
      <c r="C16" s="7"/>
      <c r="D16" s="11" t="s">
        <v>78</v>
      </c>
      <c r="E16" s="7"/>
      <c r="F16" s="7"/>
      <c r="G16" s="7"/>
      <c r="H16" s="7"/>
      <c r="I16" s="7"/>
    </row>
    <row r="17" spans="3:10" x14ac:dyDescent="0.25">
      <c r="C17" s="8" t="s">
        <v>11</v>
      </c>
      <c r="D17" s="8" t="s">
        <v>52</v>
      </c>
      <c r="E17" s="8" t="s">
        <v>12</v>
      </c>
      <c r="F17" s="8" t="s">
        <v>37</v>
      </c>
      <c r="G17" s="8" t="s">
        <v>76</v>
      </c>
      <c r="H17" s="8" t="s">
        <v>38</v>
      </c>
      <c r="I17" s="8" t="s">
        <v>39</v>
      </c>
    </row>
    <row r="18" spans="3:10" x14ac:dyDescent="0.25">
      <c r="C18" s="9" t="s">
        <v>16</v>
      </c>
      <c r="D18" s="9" t="s">
        <v>53</v>
      </c>
      <c r="E18" s="9" t="s">
        <v>57</v>
      </c>
      <c r="F18" s="9" t="s">
        <v>41</v>
      </c>
      <c r="G18" s="9">
        <v>2</v>
      </c>
      <c r="H18" s="12">
        <v>45959</v>
      </c>
      <c r="I18" s="12">
        <v>45960</v>
      </c>
    </row>
    <row r="19" spans="3:10" x14ac:dyDescent="0.25">
      <c r="C19" s="9" t="s">
        <v>17</v>
      </c>
      <c r="D19" s="9" t="s">
        <v>53</v>
      </c>
      <c r="E19" s="9" t="s">
        <v>58</v>
      </c>
      <c r="F19" s="9" t="s">
        <v>41</v>
      </c>
      <c r="G19" s="9">
        <v>2</v>
      </c>
      <c r="H19" s="12">
        <v>45960</v>
      </c>
      <c r="I19" s="12">
        <v>45961</v>
      </c>
    </row>
    <row r="20" spans="3:10" x14ac:dyDescent="0.25">
      <c r="C20" s="9" t="s">
        <v>18</v>
      </c>
      <c r="D20" s="9" t="s">
        <v>53</v>
      </c>
      <c r="E20" s="9" t="s">
        <v>59</v>
      </c>
      <c r="F20" s="9" t="s">
        <v>41</v>
      </c>
      <c r="G20" s="9">
        <v>2</v>
      </c>
      <c r="H20" s="12">
        <v>45960</v>
      </c>
      <c r="I20" s="12">
        <v>45961</v>
      </c>
    </row>
    <row r="21" spans="3:10" x14ac:dyDescent="0.25">
      <c r="C21" s="9" t="s">
        <v>19</v>
      </c>
      <c r="D21" s="9" t="s">
        <v>53</v>
      </c>
      <c r="E21" s="9" t="s">
        <v>60</v>
      </c>
      <c r="F21" s="9" t="s">
        <v>41</v>
      </c>
      <c r="G21" s="9">
        <v>2</v>
      </c>
      <c r="H21" s="12">
        <v>45961</v>
      </c>
      <c r="I21" s="12">
        <v>45964</v>
      </c>
    </row>
    <row r="22" spans="3:10" x14ac:dyDescent="0.25">
      <c r="C22" s="9" t="s">
        <v>20</v>
      </c>
      <c r="D22" s="9" t="s">
        <v>53</v>
      </c>
      <c r="E22" s="9" t="s">
        <v>61</v>
      </c>
      <c r="F22" s="9" t="s">
        <v>41</v>
      </c>
      <c r="G22" s="9">
        <v>2</v>
      </c>
      <c r="H22" s="12">
        <v>45964</v>
      </c>
      <c r="I22" s="12">
        <v>45965</v>
      </c>
    </row>
    <row r="23" spans="3:10" x14ac:dyDescent="0.25">
      <c r="C23" s="9" t="s">
        <v>21</v>
      </c>
      <c r="D23" s="9" t="s">
        <v>53</v>
      </c>
      <c r="E23" s="9" t="s">
        <v>63</v>
      </c>
      <c r="F23" s="9" t="s">
        <v>42</v>
      </c>
      <c r="G23" s="9">
        <v>3</v>
      </c>
      <c r="H23" s="12">
        <v>45965</v>
      </c>
      <c r="I23" s="12">
        <v>45966</v>
      </c>
    </row>
    <row r="24" spans="3:10" x14ac:dyDescent="0.25">
      <c r="C24" s="9" t="s">
        <v>23</v>
      </c>
      <c r="D24" s="9" t="s">
        <v>53</v>
      </c>
      <c r="E24" s="9" t="s">
        <v>64</v>
      </c>
      <c r="F24" s="9" t="s">
        <v>42</v>
      </c>
      <c r="G24" s="9">
        <v>3</v>
      </c>
      <c r="H24" s="12">
        <v>45966</v>
      </c>
      <c r="I24" s="12">
        <v>45967</v>
      </c>
    </row>
    <row r="26" spans="3:10" x14ac:dyDescent="0.25">
      <c r="C26" s="7"/>
      <c r="D26" s="13" t="s">
        <v>79</v>
      </c>
      <c r="E26" s="7"/>
      <c r="F26" s="7"/>
      <c r="G26" s="7"/>
      <c r="H26" s="7"/>
      <c r="I26" s="7"/>
    </row>
    <row r="27" spans="3:10" x14ac:dyDescent="0.25">
      <c r="C27" s="8" t="s">
        <v>11</v>
      </c>
      <c r="D27" s="8" t="s">
        <v>52</v>
      </c>
      <c r="E27" s="8" t="s">
        <v>12</v>
      </c>
      <c r="F27" s="8" t="s">
        <v>37</v>
      </c>
      <c r="G27" s="8" t="s">
        <v>76</v>
      </c>
      <c r="H27" s="8" t="s">
        <v>38</v>
      </c>
      <c r="I27" s="8" t="s">
        <v>39</v>
      </c>
    </row>
    <row r="28" spans="3:10" x14ac:dyDescent="0.25">
      <c r="C28" s="9" t="s">
        <v>26</v>
      </c>
      <c r="D28" s="9" t="s">
        <v>53</v>
      </c>
      <c r="E28" s="9" t="s">
        <v>44</v>
      </c>
      <c r="F28" s="9" t="s">
        <v>45</v>
      </c>
      <c r="G28" s="9">
        <v>4</v>
      </c>
      <c r="H28" s="12">
        <v>45968</v>
      </c>
      <c r="I28" s="12">
        <v>45971</v>
      </c>
    </row>
    <row r="29" spans="3:10" x14ac:dyDescent="0.25">
      <c r="C29" s="9" t="s">
        <v>27</v>
      </c>
      <c r="D29" s="9" t="s">
        <v>53</v>
      </c>
      <c r="E29" s="9" t="s">
        <v>66</v>
      </c>
      <c r="F29" s="9" t="s">
        <v>45</v>
      </c>
      <c r="G29" s="9">
        <v>4</v>
      </c>
      <c r="H29" s="12">
        <v>45971</v>
      </c>
      <c r="I29" s="12">
        <v>45972</v>
      </c>
    </row>
    <row r="30" spans="3:10" x14ac:dyDescent="0.25">
      <c r="C30" s="9" t="s">
        <v>31</v>
      </c>
      <c r="D30" s="9" t="s">
        <v>53</v>
      </c>
      <c r="E30" s="9" t="s">
        <v>69</v>
      </c>
      <c r="F30" s="9" t="s">
        <v>47</v>
      </c>
      <c r="G30" s="9">
        <v>6</v>
      </c>
      <c r="H30" s="12">
        <v>45972</v>
      </c>
      <c r="I30" s="12">
        <v>45973</v>
      </c>
    </row>
    <row r="31" spans="3:10" x14ac:dyDescent="0.25">
      <c r="C31" s="9" t="s">
        <v>32</v>
      </c>
      <c r="D31" s="9" t="s">
        <v>53</v>
      </c>
      <c r="E31" s="9" t="s">
        <v>70</v>
      </c>
      <c r="F31" s="9" t="s">
        <v>47</v>
      </c>
      <c r="G31" s="9">
        <v>6</v>
      </c>
      <c r="H31" s="12">
        <v>45973</v>
      </c>
      <c r="I31" s="12">
        <v>45974</v>
      </c>
    </row>
    <row r="32" spans="3:10" x14ac:dyDescent="0.25">
      <c r="C32" s="9" t="s">
        <v>33</v>
      </c>
      <c r="D32" s="9" t="s">
        <v>53</v>
      </c>
      <c r="E32" s="9" t="s">
        <v>71</v>
      </c>
      <c r="F32" s="9" t="s">
        <v>47</v>
      </c>
      <c r="G32" s="9">
        <v>6</v>
      </c>
      <c r="H32" s="12">
        <v>45974</v>
      </c>
      <c r="I32" s="12">
        <v>45978</v>
      </c>
      <c r="J32" s="14"/>
    </row>
    <row r="33" spans="3:9" x14ac:dyDescent="0.25">
      <c r="C33" s="4"/>
      <c r="D33" s="4"/>
      <c r="E33" s="4"/>
      <c r="F33" s="4"/>
      <c r="G33" s="4"/>
      <c r="H33" s="10"/>
      <c r="I33" s="10"/>
    </row>
    <row r="34" spans="3:9" x14ac:dyDescent="0.25">
      <c r="C34" s="13"/>
      <c r="D34" s="13" t="s">
        <v>80</v>
      </c>
      <c r="E34" s="13"/>
      <c r="F34" s="13"/>
      <c r="G34" s="13"/>
      <c r="H34" s="13"/>
      <c r="I34" s="13"/>
    </row>
    <row r="35" spans="3:9" x14ac:dyDescent="0.25">
      <c r="C35" s="8" t="s">
        <v>11</v>
      </c>
      <c r="D35" s="8" t="s">
        <v>52</v>
      </c>
      <c r="E35" s="8" t="s">
        <v>12</v>
      </c>
      <c r="F35" s="8" t="s">
        <v>37</v>
      </c>
      <c r="G35" s="8" t="s">
        <v>76</v>
      </c>
      <c r="H35" s="8" t="s">
        <v>38</v>
      </c>
      <c r="I35" s="8" t="s">
        <v>39</v>
      </c>
    </row>
    <row r="36" spans="3:9" x14ac:dyDescent="0.25">
      <c r="C36" s="9" t="s">
        <v>34</v>
      </c>
      <c r="D36" s="9" t="s">
        <v>53</v>
      </c>
      <c r="E36" s="9" t="s">
        <v>72</v>
      </c>
      <c r="F36" s="9" t="s">
        <v>48</v>
      </c>
      <c r="G36" s="9">
        <v>7</v>
      </c>
      <c r="H36" s="12">
        <v>45979</v>
      </c>
      <c r="I36" s="12">
        <v>45980</v>
      </c>
    </row>
    <row r="37" spans="3:9" x14ac:dyDescent="0.25">
      <c r="C37" s="9" t="s">
        <v>35</v>
      </c>
      <c r="D37" s="9" t="s">
        <v>53</v>
      </c>
      <c r="E37" s="9" t="s">
        <v>73</v>
      </c>
      <c r="F37" s="9" t="s">
        <v>48</v>
      </c>
      <c r="G37" s="9">
        <v>7</v>
      </c>
      <c r="H37" s="12">
        <v>45981</v>
      </c>
      <c r="I37" s="12">
        <v>45982</v>
      </c>
    </row>
    <row r="38" spans="3:9" x14ac:dyDescent="0.25">
      <c r="C38" s="9" t="s">
        <v>36</v>
      </c>
      <c r="D38" s="9" t="s">
        <v>53</v>
      </c>
      <c r="E38" s="9" t="s">
        <v>74</v>
      </c>
      <c r="F38" s="9" t="s">
        <v>46</v>
      </c>
      <c r="G38" s="9">
        <v>5</v>
      </c>
      <c r="H38" s="12">
        <v>45985</v>
      </c>
      <c r="I38" s="12">
        <v>45986</v>
      </c>
    </row>
    <row r="39" spans="3:9" x14ac:dyDescent="0.25">
      <c r="C39" s="9" t="s">
        <v>49</v>
      </c>
      <c r="D39" s="9" t="s">
        <v>53</v>
      </c>
      <c r="E39" s="9" t="s">
        <v>75</v>
      </c>
      <c r="F39" s="9" t="s">
        <v>50</v>
      </c>
      <c r="G39" s="9">
        <v>8</v>
      </c>
      <c r="H39" s="12">
        <v>45986</v>
      </c>
      <c r="I39" s="12">
        <v>45987</v>
      </c>
    </row>
  </sheetData>
  <mergeCells count="1">
    <mergeCell ref="C2:I3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118DC-C1E7-474F-990E-9FE1CFC01194}">
  <dimension ref="B2:L36"/>
  <sheetViews>
    <sheetView showGridLines="0" workbookViewId="0">
      <pane ySplit="3" topLeftCell="A4" activePane="bottomLeft" state="frozen"/>
      <selection pane="bottomLeft" activeCell="N18" sqref="N18"/>
    </sheetView>
  </sheetViews>
  <sheetFormatPr defaultRowHeight="15" x14ac:dyDescent="0.25"/>
  <cols>
    <col min="2" max="6" width="15.7109375" style="2" customWidth="1"/>
    <col min="7" max="7" width="3.5703125" customWidth="1"/>
    <col min="8" max="12" width="15.7109375" customWidth="1"/>
  </cols>
  <sheetData>
    <row r="2" spans="2:12" x14ac:dyDescent="0.25">
      <c r="B2" s="28" t="s">
        <v>85</v>
      </c>
      <c r="C2" s="29"/>
      <c r="D2" s="29"/>
      <c r="E2" s="29"/>
      <c r="F2" s="29"/>
      <c r="G2" s="29"/>
      <c r="H2" s="29"/>
      <c r="I2" s="29"/>
      <c r="J2" s="29"/>
      <c r="K2" s="29"/>
      <c r="L2" s="30"/>
    </row>
    <row r="3" spans="2:12" x14ac:dyDescent="0.25">
      <c r="B3" s="31"/>
      <c r="C3" s="32"/>
      <c r="D3" s="32"/>
      <c r="E3" s="32"/>
      <c r="F3" s="32"/>
      <c r="G3" s="32"/>
      <c r="H3" s="32"/>
      <c r="I3" s="32"/>
      <c r="J3" s="32"/>
      <c r="K3" s="32"/>
      <c r="L3" s="33"/>
    </row>
    <row r="5" spans="2:12" x14ac:dyDescent="0.25">
      <c r="B5" s="2" t="s">
        <v>82</v>
      </c>
      <c r="H5" s="2" t="s">
        <v>83</v>
      </c>
      <c r="I5" s="2"/>
      <c r="J5" s="2"/>
      <c r="K5" s="2"/>
      <c r="L5" s="2"/>
    </row>
    <row r="6" spans="2:12" x14ac:dyDescent="0.25">
      <c r="B6" s="19" t="s">
        <v>5</v>
      </c>
      <c r="C6" s="19" t="s">
        <v>0</v>
      </c>
      <c r="D6" s="19" t="s">
        <v>2</v>
      </c>
      <c r="E6" s="19" t="s">
        <v>3</v>
      </c>
      <c r="F6" s="19" t="s">
        <v>1</v>
      </c>
      <c r="G6" s="20"/>
      <c r="H6" s="19" t="s">
        <v>5</v>
      </c>
      <c r="I6" s="19" t="s">
        <v>4</v>
      </c>
      <c r="J6" s="19" t="s">
        <v>2</v>
      </c>
      <c r="K6" s="19" t="s">
        <v>3</v>
      </c>
      <c r="L6" s="19" t="s">
        <v>1</v>
      </c>
    </row>
    <row r="7" spans="2:12" x14ac:dyDescent="0.25">
      <c r="B7" s="19" t="str">
        <f>TEXT(C7,"ddd")</f>
        <v>seg</v>
      </c>
      <c r="C7" s="21">
        <v>45950</v>
      </c>
      <c r="D7" s="19">
        <v>14</v>
      </c>
      <c r="E7" s="19">
        <v>14</v>
      </c>
      <c r="F7" s="19">
        <f>E7-E8</f>
        <v>2.33</v>
      </c>
      <c r="G7" s="20"/>
      <c r="H7" s="19" t="str">
        <f t="shared" ref="H7:H13" si="0">TEXT(I7,"ddd")</f>
        <v>qua</v>
      </c>
      <c r="I7" s="21">
        <v>45959</v>
      </c>
      <c r="J7" s="19">
        <v>22</v>
      </c>
      <c r="K7" s="19">
        <v>22</v>
      </c>
      <c r="L7" s="19">
        <f>K7-K8</f>
        <v>3.6700000000000017</v>
      </c>
    </row>
    <row r="8" spans="2:12" x14ac:dyDescent="0.25">
      <c r="B8" s="19" t="str">
        <f t="shared" ref="B8:B11" si="1">TEXT(C8,"ddd")</f>
        <v>ter</v>
      </c>
      <c r="C8" s="21">
        <v>45951</v>
      </c>
      <c r="D8" s="19">
        <v>14</v>
      </c>
      <c r="E8" s="19">
        <f>E7-2.33</f>
        <v>11.67</v>
      </c>
      <c r="F8" s="19">
        <f t="shared" ref="F8:F12" si="2">E8-E9</f>
        <v>2.33</v>
      </c>
      <c r="G8" s="20"/>
      <c r="H8" s="19" t="str">
        <f t="shared" si="0"/>
        <v>qui</v>
      </c>
      <c r="I8" s="21">
        <v>45960</v>
      </c>
      <c r="J8" s="19">
        <v>22</v>
      </c>
      <c r="K8" s="19">
        <f>K7-3.67</f>
        <v>18.329999999999998</v>
      </c>
      <c r="L8" s="19">
        <f t="shared" ref="L8:L13" si="3">K8-K9</f>
        <v>3.67</v>
      </c>
    </row>
    <row r="9" spans="2:12" x14ac:dyDescent="0.25">
      <c r="B9" s="19" t="str">
        <f t="shared" si="1"/>
        <v>qua</v>
      </c>
      <c r="C9" s="21">
        <v>45952</v>
      </c>
      <c r="D9" s="19">
        <v>14</v>
      </c>
      <c r="E9" s="19">
        <f>E8-2.33</f>
        <v>9.34</v>
      </c>
      <c r="F9" s="19">
        <f t="shared" si="2"/>
        <v>2.33</v>
      </c>
      <c r="G9" s="20"/>
      <c r="H9" s="19" t="str">
        <f t="shared" si="0"/>
        <v>sex</v>
      </c>
      <c r="I9" s="21">
        <v>45961</v>
      </c>
      <c r="J9" s="19">
        <v>22</v>
      </c>
      <c r="K9" s="19">
        <f>K8-3.67</f>
        <v>14.659999999999998</v>
      </c>
      <c r="L9" s="19">
        <f t="shared" si="3"/>
        <v>3.67</v>
      </c>
    </row>
    <row r="10" spans="2:12" x14ac:dyDescent="0.25">
      <c r="B10" s="19" t="str">
        <f t="shared" si="1"/>
        <v>qui</v>
      </c>
      <c r="C10" s="21">
        <v>45953</v>
      </c>
      <c r="D10" s="19">
        <v>14</v>
      </c>
      <c r="E10" s="19">
        <f>E9-2.33</f>
        <v>7.01</v>
      </c>
      <c r="F10" s="19">
        <f t="shared" si="2"/>
        <v>2.33</v>
      </c>
      <c r="G10" s="20"/>
      <c r="H10" s="19" t="str">
        <f t="shared" si="0"/>
        <v>seg</v>
      </c>
      <c r="I10" s="21">
        <v>45964</v>
      </c>
      <c r="J10" s="19">
        <v>22</v>
      </c>
      <c r="K10" s="19">
        <f>K9-3.67</f>
        <v>10.989999999999998</v>
      </c>
      <c r="L10" s="19">
        <f t="shared" si="3"/>
        <v>3.67</v>
      </c>
    </row>
    <row r="11" spans="2:12" x14ac:dyDescent="0.25">
      <c r="B11" s="19" t="str">
        <f t="shared" si="1"/>
        <v>sex</v>
      </c>
      <c r="C11" s="21">
        <v>45954</v>
      </c>
      <c r="D11" s="19">
        <v>14</v>
      </c>
      <c r="E11" s="19">
        <f>E10-2.33</f>
        <v>4.68</v>
      </c>
      <c r="F11" s="19">
        <f t="shared" si="2"/>
        <v>2.33</v>
      </c>
      <c r="G11" s="20"/>
      <c r="H11" s="19" t="str">
        <f t="shared" si="0"/>
        <v>ter</v>
      </c>
      <c r="I11" s="21">
        <v>45965</v>
      </c>
      <c r="J11" s="19">
        <v>22</v>
      </c>
      <c r="K11" s="19">
        <f>K10-3.67</f>
        <v>7.3199999999999985</v>
      </c>
      <c r="L11" s="19">
        <f t="shared" si="3"/>
        <v>3.67</v>
      </c>
    </row>
    <row r="12" spans="2:12" x14ac:dyDescent="0.25">
      <c r="B12" s="19" t="str">
        <f>TEXT(C12,"ddd")</f>
        <v>seg</v>
      </c>
      <c r="C12" s="21">
        <v>45957</v>
      </c>
      <c r="D12" s="19">
        <v>14</v>
      </c>
      <c r="E12" s="19">
        <f>E11-2.33</f>
        <v>2.3499999999999996</v>
      </c>
      <c r="F12" s="19">
        <f t="shared" si="2"/>
        <v>2.3499999999999996</v>
      </c>
      <c r="G12" s="20"/>
      <c r="H12" s="19" t="str">
        <f t="shared" si="0"/>
        <v>qua</v>
      </c>
      <c r="I12" s="21">
        <v>45966</v>
      </c>
      <c r="J12" s="19">
        <v>22</v>
      </c>
      <c r="K12" s="19">
        <f>K11-3.67</f>
        <v>3.6499999999999986</v>
      </c>
      <c r="L12" s="19">
        <f>K12-K13</f>
        <v>3.6499999999999986</v>
      </c>
    </row>
    <row r="13" spans="2:12" x14ac:dyDescent="0.25">
      <c r="B13" s="19" t="str">
        <f>TEXT(C13,"ddd")</f>
        <v>ter</v>
      </c>
      <c r="C13" s="21">
        <v>45958</v>
      </c>
      <c r="D13" s="19">
        <v>14</v>
      </c>
      <c r="E13" s="19">
        <v>0</v>
      </c>
      <c r="F13" s="19">
        <f>E13-K5</f>
        <v>0</v>
      </c>
      <c r="G13" s="20"/>
      <c r="H13" s="19" t="str">
        <f t="shared" si="0"/>
        <v>qui</v>
      </c>
      <c r="I13" s="21">
        <v>45967</v>
      </c>
      <c r="J13" s="19">
        <v>22</v>
      </c>
      <c r="K13" s="19">
        <v>0</v>
      </c>
      <c r="L13" s="19">
        <f t="shared" si="3"/>
        <v>0</v>
      </c>
    </row>
    <row r="14" spans="2:12" x14ac:dyDescent="0.25">
      <c r="B14" s="22"/>
      <c r="C14" s="23"/>
      <c r="D14" s="22"/>
      <c r="E14" s="22"/>
      <c r="F14" s="22"/>
      <c r="G14" s="20"/>
      <c r="H14" s="20"/>
      <c r="I14" s="20"/>
      <c r="J14" s="20"/>
      <c r="K14" s="20"/>
      <c r="L14" s="20"/>
    </row>
    <row r="23" spans="3:3" x14ac:dyDescent="0.25">
      <c r="C23" s="1"/>
    </row>
    <row r="36" spans="3:3" x14ac:dyDescent="0.25">
      <c r="C36" s="1"/>
    </row>
  </sheetData>
  <mergeCells count="1">
    <mergeCell ref="B2:L3"/>
  </mergeCells>
  <phoneticPr fontId="3" type="noConversion"/>
  <conditionalFormatting sqref="B5:B14 H6:H13 B23 B36:B1048576">
    <cfRule type="containsText" dxfId="1" priority="1" operator="containsText" text="dom">
      <formula>NOT(ISERROR(SEARCH("dom",B5)))</formula>
    </cfRule>
    <cfRule type="containsText" dxfId="0" priority="2" operator="containsText" text="sáb">
      <formula>NOT(ISERROR(SEARCH("sáb",B5)))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Product Backlog (Geral)</vt:lpstr>
      <vt:lpstr>Sprint Backlog</vt:lpstr>
      <vt:lpstr>Burndown Chart S1 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Caio Barbosa Teodoro</dc:creator>
  <cp:lastModifiedBy>Caio B Teodoro</cp:lastModifiedBy>
  <dcterms:created xsi:type="dcterms:W3CDTF">2025-11-10T18:48:15Z</dcterms:created>
  <dcterms:modified xsi:type="dcterms:W3CDTF">2025-11-20T16:32:59Z</dcterms:modified>
</cp:coreProperties>
</file>